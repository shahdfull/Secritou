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ore E" sheetId="1" state="visible" r:id="rId1"/>
    <sheet xmlns:r="http://schemas.openxmlformats.org/officeDocument/2006/relationships" name="Score A" sheetId="2" state="visible" r:id="rId2"/>
    <sheet xmlns:r="http://schemas.openxmlformats.org/officeDocument/2006/relationships" name="chiffre 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28"/>
    </font>
    <font>
      <name val="Calibri"/>
      <color theme="1"/>
      <scheme val="minor"/>
    </font>
    <font>
      <name val="Calibri"/>
      <color theme="1"/>
      <sz val="11"/>
    </font>
    <font>
      <name val="Calibri"/>
      <color theme="1"/>
      <sz val="20"/>
    </font>
    <font>
      <name val="Calibri"/>
      <b val="1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textRotation="255"/>
    </xf>
    <xf numFmtId="0" fontId="2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horizontal="center" vertical="center" textRotation="255"/>
    </xf>
    <xf numFmtId="0" fontId="3" fillId="3" borderId="1" pivotButton="0" quotePrefix="0" xfId="0"/>
    <xf numFmtId="9" fontId="3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9" min="1" max="4"/>
    <col width="12.43" customWidth="1" style="9" min="5" max="6"/>
    <col width="13.71" customWidth="1" style="9" min="7" max="7"/>
    <col width="12.86" customWidth="1" style="9" min="8" max="8"/>
    <col width="12.71" customWidth="1" style="9" min="9" max="9"/>
    <col width="15" customWidth="1" style="9" min="10" max="10"/>
    <col width="10.71" customWidth="1" style="9" min="11" max="26"/>
  </cols>
  <sheetData>
    <row r="1" ht="14.25" customHeight="1" s="9">
      <c r="A1" s="1" t="inlineStr">
        <is>
          <t>IDL</t>
        </is>
      </c>
      <c r="B1" s="3" t="inlineStr">
        <is>
          <t>CS</t>
        </is>
      </c>
    </row>
    <row r="2" ht="14.25" customHeight="1" s="9">
      <c r="C2" s="3" t="inlineStr">
        <is>
          <t>UE math1</t>
        </is>
      </c>
      <c r="D2" s="3" t="inlineStr">
        <is>
          <t>UE math2</t>
        </is>
      </c>
      <c r="E2" s="3" t="inlineStr">
        <is>
          <t>UE Algo prog1</t>
        </is>
      </c>
      <c r="F2" s="3" t="inlineStr">
        <is>
          <t>UE Algo prog2</t>
        </is>
      </c>
      <c r="G2" s="3" t="inlineStr">
        <is>
          <t>UE CPOO</t>
        </is>
      </c>
      <c r="H2" s="3" t="inlineStr">
        <is>
          <t>UE sys expl1</t>
        </is>
      </c>
      <c r="I2" s="3" t="inlineStr">
        <is>
          <t>UE sys expl2</t>
        </is>
      </c>
      <c r="J2" s="3" t="inlineStr">
        <is>
          <t>UE compil test</t>
        </is>
      </c>
      <c r="K2" s="3" t="inlineStr">
        <is>
          <t>Score E</t>
        </is>
      </c>
    </row>
    <row r="3" ht="14.25" customHeight="1" s="9">
      <c r="C3" s="3" t="n">
        <v>10.8</v>
      </c>
      <c r="D3" s="3" t="n">
        <v>11.91</v>
      </c>
      <c r="E3" s="3" t="n">
        <v>17.37</v>
      </c>
      <c r="F3" s="3" t="n">
        <v>13.19</v>
      </c>
      <c r="G3" s="3" t="n">
        <v>16.26</v>
      </c>
      <c r="H3" s="3" t="n">
        <v>11.97</v>
      </c>
      <c r="I3" s="3" t="n">
        <v>16.38</v>
      </c>
      <c r="J3" s="3" t="n">
        <v>14.49</v>
      </c>
      <c r="K3" s="3">
        <f>C3+D3+(E3+F3)/2+G3+((H3+I3)/2+J3)/2</f>
        <v/>
      </c>
    </row>
    <row r="4" ht="14.25" customHeight="1" s="9">
      <c r="B4" s="3" t="inlineStr">
        <is>
          <t>IRS</t>
        </is>
      </c>
    </row>
    <row r="5" ht="14.25" customHeight="1" s="9">
      <c r="C5" s="3" t="inlineStr">
        <is>
          <t>UE math1</t>
        </is>
      </c>
      <c r="D5" s="3" t="inlineStr">
        <is>
          <t>UE math2</t>
        </is>
      </c>
      <c r="E5" s="3" t="inlineStr">
        <is>
          <t>UE Algo prog1</t>
        </is>
      </c>
      <c r="F5" s="3" t="inlineStr">
        <is>
          <t>UE Algo prog2</t>
        </is>
      </c>
      <c r="G5" s="3" t="inlineStr">
        <is>
          <t>UE sys infor S3</t>
        </is>
      </c>
      <c r="H5" s="3" t="inlineStr">
        <is>
          <t>UE sys infor S4</t>
        </is>
      </c>
      <c r="K5" s="3" t="inlineStr">
        <is>
          <t>Score E</t>
        </is>
      </c>
    </row>
    <row r="6" ht="14.25" customHeight="1" s="9">
      <c r="C6" s="3" t="n">
        <v>10</v>
      </c>
      <c r="D6" s="3" t="n">
        <v>10</v>
      </c>
      <c r="E6" s="3" t="n">
        <v>10</v>
      </c>
      <c r="F6" s="3" t="n">
        <v>10</v>
      </c>
      <c r="G6" s="3" t="n">
        <v>10</v>
      </c>
      <c r="H6" s="3" t="n">
        <v>10</v>
      </c>
      <c r="K6" s="3">
        <f>C6+D6+(E6+F6)/2+G6+H6</f>
        <v/>
      </c>
    </row>
    <row r="7" ht="14.25" customHeight="1" s="9">
      <c r="B7" s="3" t="inlineStr">
        <is>
          <t>SE</t>
        </is>
      </c>
    </row>
    <row r="8" ht="14.25" customHeight="1" s="9">
      <c r="C8" s="3" t="inlineStr">
        <is>
          <t>UE math1</t>
        </is>
      </c>
      <c r="D8" s="3" t="inlineStr">
        <is>
          <t>UE math2</t>
        </is>
      </c>
      <c r="E8" s="3" t="inlineStr">
        <is>
          <t>UE infor 1</t>
        </is>
      </c>
      <c r="F8" s="3" t="inlineStr">
        <is>
          <t>UE infor 2</t>
        </is>
      </c>
      <c r="G8" s="3" t="inlineStr">
        <is>
          <t>UE opt S3</t>
        </is>
      </c>
      <c r="H8" s="3" t="inlineStr">
        <is>
          <t>UE POO mob</t>
        </is>
      </c>
      <c r="K8" s="3" t="inlineStr">
        <is>
          <t>Score E</t>
        </is>
      </c>
    </row>
    <row r="9" ht="14.25" customHeight="1" s="9">
      <c r="C9" s="3" t="n">
        <v>10</v>
      </c>
      <c r="D9" s="3" t="n">
        <v>10</v>
      </c>
      <c r="E9" s="3" t="n">
        <v>10</v>
      </c>
      <c r="F9" s="3" t="n">
        <v>10</v>
      </c>
      <c r="G9" s="3" t="n">
        <v>10</v>
      </c>
      <c r="H9" s="3" t="n">
        <v>10</v>
      </c>
      <c r="K9" s="3">
        <f>C9+D9+(E9+F9)/2+G9+H9</f>
        <v/>
      </c>
    </row>
    <row r="10" ht="7.5" customHeight="1" s="9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14.25" customHeight="1" s="9">
      <c r="A11" s="5" t="inlineStr">
        <is>
          <t>IDISC</t>
        </is>
      </c>
      <c r="B11" s="3" t="inlineStr">
        <is>
          <t>CS</t>
        </is>
      </c>
    </row>
    <row r="12" ht="14.25" customHeight="1" s="9">
      <c r="C12" s="3" t="inlineStr">
        <is>
          <t>UE math1</t>
        </is>
      </c>
      <c r="D12" s="3" t="inlineStr">
        <is>
          <t>UE math2</t>
        </is>
      </c>
      <c r="E12" s="3" t="inlineStr">
        <is>
          <t>Fonda réseau</t>
        </is>
      </c>
      <c r="F12" s="3" t="inlineStr">
        <is>
          <t>Serv réseau</t>
        </is>
      </c>
      <c r="G12" s="3" t="inlineStr">
        <is>
          <t>Sécu infor</t>
        </is>
      </c>
      <c r="K12" s="3" t="inlineStr">
        <is>
          <t>Score E</t>
        </is>
      </c>
    </row>
    <row r="13" ht="14.25" customHeight="1" s="9">
      <c r="C13" s="3" t="n">
        <v>14.4</v>
      </c>
      <c r="D13" s="3" t="n">
        <v>10.25</v>
      </c>
      <c r="E13" s="3" t="n">
        <v>12.45</v>
      </c>
      <c r="F13" s="3" t="n">
        <v>12.25</v>
      </c>
      <c r="G13" s="3" t="n">
        <v>11.2</v>
      </c>
      <c r="K13" s="3">
        <f>C13+D13+E13+F13+G13</f>
        <v/>
      </c>
    </row>
    <row r="14" ht="14.25" customHeight="1" s="9">
      <c r="B14" s="3" t="inlineStr">
        <is>
          <t>IRS</t>
        </is>
      </c>
    </row>
    <row r="15" ht="14.25" customHeight="1" s="9">
      <c r="C15" s="3" t="inlineStr">
        <is>
          <t>UE math1</t>
        </is>
      </c>
      <c r="D15" s="3" t="inlineStr">
        <is>
          <t>UE math2</t>
        </is>
      </c>
      <c r="E15" s="3" t="inlineStr">
        <is>
          <t>initia trai signa</t>
        </is>
      </c>
      <c r="F15" s="3" t="inlineStr">
        <is>
          <t>Transm donné</t>
        </is>
      </c>
      <c r="G15" s="3" t="inlineStr">
        <is>
          <t>Réseau IP</t>
        </is>
      </c>
      <c r="H15" s="3" t="inlineStr">
        <is>
          <t>Sécu infor</t>
        </is>
      </c>
      <c r="K15" s="3" t="inlineStr">
        <is>
          <t>Score E</t>
        </is>
      </c>
    </row>
    <row r="16" ht="14.25" customHeight="1" s="9">
      <c r="C16" s="3" t="n">
        <v>10</v>
      </c>
      <c r="D16" s="3" t="n">
        <v>10</v>
      </c>
      <c r="E16" s="3" t="n">
        <v>10</v>
      </c>
      <c r="F16" s="3" t="n">
        <v>10</v>
      </c>
      <c r="G16" s="3" t="n">
        <v>10</v>
      </c>
      <c r="H16" s="3" t="n">
        <v>10</v>
      </c>
      <c r="K16" s="3">
        <f>C16+D16+(E16+F16)/2+G16+H16</f>
        <v/>
      </c>
    </row>
    <row r="17" ht="14.25" customHeight="1" s="9">
      <c r="B17" s="3" t="inlineStr">
        <is>
          <t>SE</t>
        </is>
      </c>
    </row>
    <row r="18" ht="14.25" customHeight="1" s="9">
      <c r="C18" s="3" t="inlineStr">
        <is>
          <t>UE math1</t>
        </is>
      </c>
      <c r="D18" s="3" t="inlineStr">
        <is>
          <t>UE math2</t>
        </is>
      </c>
      <c r="E18" s="3" t="inlineStr">
        <is>
          <t>Traite sign ana</t>
        </is>
      </c>
      <c r="F18" s="3" t="inlineStr">
        <is>
          <t>Transm donné</t>
        </is>
      </c>
      <c r="G18" s="3" t="inlineStr">
        <is>
          <t>POO mobile</t>
        </is>
      </c>
      <c r="K18" s="3" t="inlineStr">
        <is>
          <t>Score E</t>
        </is>
      </c>
    </row>
    <row r="19" ht="14.25" customHeight="1" s="9"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</v>
      </c>
      <c r="K19" s="3">
        <f>C19+D19+E19+F19+G19</f>
        <v/>
      </c>
    </row>
    <row r="20" ht="6" customHeight="1" s="9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14.25" customHeight="1" s="9">
      <c r="A21" s="5" t="inlineStr">
        <is>
          <t>ISEOC</t>
        </is>
      </c>
      <c r="B21" s="3" t="inlineStr">
        <is>
          <t>CS</t>
        </is>
      </c>
    </row>
    <row r="22" ht="14.25" customHeight="1" s="9">
      <c r="C22" s="3" t="inlineStr">
        <is>
          <t>UE math1</t>
        </is>
      </c>
      <c r="D22" s="3" t="inlineStr">
        <is>
          <t>UE math2</t>
        </is>
      </c>
      <c r="E22" s="3" t="inlineStr">
        <is>
          <t>sys logi arch</t>
        </is>
      </c>
      <c r="F22" s="3" t="inlineStr">
        <is>
          <t>progr python</t>
        </is>
      </c>
      <c r="G22" s="3" t="inlineStr">
        <is>
          <t>Fond IA</t>
        </is>
      </c>
      <c r="H22" s="3" t="inlineStr">
        <is>
          <t>Dév mobil</t>
        </is>
      </c>
      <c r="K22" s="3" t="inlineStr">
        <is>
          <t>Score E</t>
        </is>
      </c>
    </row>
    <row r="23" ht="14.25" customHeight="1" s="9">
      <c r="C23" s="3" t="n">
        <v>14.4</v>
      </c>
      <c r="D23" s="3" t="n">
        <v>10.25</v>
      </c>
      <c r="E23" s="3" t="n">
        <v>15.17</v>
      </c>
      <c r="F23" s="3" t="n">
        <v>7.29</v>
      </c>
      <c r="G23" s="3" t="n">
        <v>12.08</v>
      </c>
      <c r="H23" s="3" t="n">
        <v>5.4</v>
      </c>
      <c r="K23" s="3">
        <f>C23+D23+E23+F23+G23</f>
        <v/>
      </c>
    </row>
    <row r="24" ht="14.25" customHeight="1" s="9">
      <c r="B24" s="3" t="inlineStr">
        <is>
          <t>IRS</t>
        </is>
      </c>
    </row>
    <row r="25" ht="14.25" customHeight="1" s="9">
      <c r="C25" s="3" t="inlineStr">
        <is>
          <t>UE math1</t>
        </is>
      </c>
      <c r="D25" s="3" t="inlineStr">
        <is>
          <t>UE math2</t>
        </is>
      </c>
      <c r="E25" s="3" t="inlineStr">
        <is>
          <t>electré-electro</t>
        </is>
      </c>
      <c r="F25" s="3" t="inlineStr">
        <is>
          <t>Fonc electro</t>
        </is>
      </c>
      <c r="G25" s="3" t="inlineStr">
        <is>
          <t>Archi ordi</t>
        </is>
      </c>
      <c r="H25" s="3" t="inlineStr">
        <is>
          <t>IOT</t>
        </is>
      </c>
      <c r="K25" s="3" t="inlineStr">
        <is>
          <t>Score E</t>
        </is>
      </c>
    </row>
    <row r="26" ht="14.25" customHeight="1" s="9">
      <c r="C26" s="3" t="n">
        <v>10</v>
      </c>
      <c r="D26" s="3" t="n">
        <v>10</v>
      </c>
      <c r="E26" s="3" t="n">
        <v>10</v>
      </c>
      <c r="F26" s="3" t="n">
        <v>10</v>
      </c>
      <c r="G26" s="3" t="n">
        <v>10</v>
      </c>
      <c r="H26" s="3" t="n">
        <v>10</v>
      </c>
      <c r="K26" s="3">
        <f>C26+D26+(E26+F26)/2+G26+H26</f>
        <v/>
      </c>
    </row>
    <row r="27" ht="14.25" customHeight="1" s="9">
      <c r="B27" s="3" t="inlineStr">
        <is>
          <t>SE</t>
        </is>
      </c>
    </row>
    <row r="28" ht="14.25" customHeight="1" s="9">
      <c r="C28" s="3" t="inlineStr">
        <is>
          <t>UE math1</t>
        </is>
      </c>
      <c r="D28" s="3" t="inlineStr">
        <is>
          <t>UE math2</t>
        </is>
      </c>
      <c r="E28" s="3" t="inlineStr">
        <is>
          <t>UE electro 1</t>
        </is>
      </c>
      <c r="F28" s="3" t="inlineStr">
        <is>
          <t>UE electro 2</t>
        </is>
      </c>
      <c r="G28" s="3" t="inlineStr">
        <is>
          <t>Archi micro</t>
        </is>
      </c>
      <c r="H28" s="3" t="inlineStr">
        <is>
          <t>Capte actionn</t>
        </is>
      </c>
      <c r="I28" s="3" t="inlineStr">
        <is>
          <t>Concep circui num</t>
        </is>
      </c>
      <c r="J28" s="3" t="inlineStr">
        <is>
          <t>concepsys embar</t>
        </is>
      </c>
      <c r="K28" s="3" t="inlineStr">
        <is>
          <t>Score E</t>
        </is>
      </c>
    </row>
    <row r="29" ht="14.25" customHeight="1" s="9">
      <c r="C29" s="3" t="n">
        <v>10</v>
      </c>
      <c r="D29" s="3" t="n">
        <v>10</v>
      </c>
      <c r="E29" s="3" t="n">
        <v>10</v>
      </c>
      <c r="F29" s="3" t="n">
        <v>10</v>
      </c>
      <c r="G29" s="3" t="n">
        <v>10</v>
      </c>
      <c r="H29" s="3" t="n">
        <v>10</v>
      </c>
      <c r="I29" s="3" t="n">
        <v>10</v>
      </c>
      <c r="J29" s="3" t="n">
        <v>10</v>
      </c>
      <c r="K29" s="3">
        <f>C29+D29+(E29+F29)/2+(G29+H29)/2+(I29+J29)/2</f>
        <v/>
      </c>
    </row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3">
    <mergeCell ref="A21:A29"/>
    <mergeCell ref="A11:A19"/>
    <mergeCell ref="A1:A9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ColWidth="14.43" defaultRowHeight="15" customHeight="1"/>
  <cols>
    <col width="12.86" customWidth="1" style="9" min="1" max="1"/>
    <col width="10.71" customWidth="1" style="9" min="2" max="26"/>
  </cols>
  <sheetData>
    <row r="1" ht="14.25" customHeight="1" s="9">
      <c r="A1" s="3" t="inlineStr">
        <is>
          <t>Moy Général 1</t>
        </is>
      </c>
      <c r="B1" s="3" t="inlineStr">
        <is>
          <t>Moy Général 2</t>
        </is>
      </c>
      <c r="D1" s="3" t="inlineStr">
        <is>
          <t>Rang 1</t>
        </is>
      </c>
      <c r="E1" s="3" t="inlineStr">
        <is>
          <t>effec 1</t>
        </is>
      </c>
      <c r="F1" s="3" t="inlineStr">
        <is>
          <t>Rang 2</t>
        </is>
      </c>
      <c r="G1" s="3" t="inlineStr">
        <is>
          <t>effec 2</t>
        </is>
      </c>
      <c r="H1" s="3" t="inlineStr">
        <is>
          <t>fr1</t>
        </is>
      </c>
      <c r="I1" s="3" t="inlineStr">
        <is>
          <t>an1</t>
        </is>
      </c>
      <c r="J1" s="3" t="inlineStr">
        <is>
          <t>fr2</t>
        </is>
      </c>
      <c r="K1" s="3" t="inlineStr">
        <is>
          <t>an2</t>
        </is>
      </c>
      <c r="L1" s="3" t="inlineStr">
        <is>
          <t>Année naiss</t>
        </is>
      </c>
      <c r="M1" s="3" t="inlineStr">
        <is>
          <t>BAC</t>
        </is>
      </c>
    </row>
    <row r="2" ht="14.25" customHeight="1" s="9">
      <c r="A2" s="6" t="n">
        <v>14.08</v>
      </c>
      <c r="B2" s="6" t="n">
        <v>14.34</v>
      </c>
      <c r="D2" s="6" t="n">
        <v>41</v>
      </c>
      <c r="E2" s="6" t="n">
        <v>107</v>
      </c>
      <c r="F2" s="6" t="n">
        <v>42</v>
      </c>
      <c r="G2" s="6" t="n">
        <v>102</v>
      </c>
      <c r="H2" s="6" t="n">
        <v>14.75</v>
      </c>
      <c r="I2" s="6" t="n">
        <v>16.7</v>
      </c>
      <c r="J2" s="6" t="n">
        <v>10.3</v>
      </c>
      <c r="K2" s="6" t="n">
        <v>13.6</v>
      </c>
      <c r="L2" s="6" t="n">
        <v>2004</v>
      </c>
      <c r="M2" s="6" t="n">
        <v>16.94</v>
      </c>
    </row>
    <row r="3" ht="14.25" customHeight="1" s="9">
      <c r="A3" s="3" t="inlineStr">
        <is>
          <t>MG</t>
        </is>
      </c>
      <c r="D3" s="3" t="inlineStr">
        <is>
          <t>r1</t>
        </is>
      </c>
      <c r="F3" s="3" t="inlineStr">
        <is>
          <t>r2</t>
        </is>
      </c>
    </row>
    <row r="4" ht="14.25" customHeight="1" s="9">
      <c r="A4" s="3">
        <f>(A2+B2)/2</f>
        <v/>
      </c>
      <c r="D4" s="3">
        <f>(D2-1)/E2</f>
        <v/>
      </c>
      <c r="F4" s="3">
        <f>(F2-1)/G2</f>
        <v/>
      </c>
      <c r="H4" s="3" t="inlineStr">
        <is>
          <t>nb</t>
        </is>
      </c>
      <c r="I4" s="6" t="n">
        <v>4</v>
      </c>
    </row>
    <row r="5" ht="14.25" customHeight="1" s="9">
      <c r="D5" s="3" t="inlineStr">
        <is>
          <t>R1</t>
        </is>
      </c>
      <c r="F5" s="3" t="inlineStr">
        <is>
          <t>R2</t>
        </is>
      </c>
    </row>
    <row r="6" ht="14.25" customHeight="1" s="9">
      <c r="D6" s="3">
        <f>IF(D4&lt;=0.3,100-(700*D4)/3,0)</f>
        <v/>
      </c>
      <c r="F6" s="3">
        <f>IF(F4&lt;=0.3,100-(700*F4)/3,0)</f>
        <v/>
      </c>
    </row>
    <row r="7" ht="14.25" customHeight="1" s="9">
      <c r="A7" s="3" t="inlineStr">
        <is>
          <t>M</t>
        </is>
      </c>
      <c r="D7" s="3" t="inlineStr">
        <is>
          <t>R</t>
        </is>
      </c>
      <c r="I7" s="3" t="inlineStr">
        <is>
          <t>ML</t>
        </is>
      </c>
      <c r="L7" s="3" t="inlineStr">
        <is>
          <t>B1</t>
        </is>
      </c>
      <c r="M7" s="3" t="inlineStr">
        <is>
          <t>B2</t>
        </is>
      </c>
    </row>
    <row r="8" ht="14.25" customHeight="1" s="9">
      <c r="A8" s="3">
        <f>IF(A4&gt;=15,100,IF(A4&gt;10,20*(A4-10),0))</f>
        <v/>
      </c>
      <c r="D8" s="3">
        <f>(D6+F6)/2</f>
        <v/>
      </c>
      <c r="I8" s="3">
        <f>(H2+I2+J2+K2)/I4</f>
        <v/>
      </c>
      <c r="L8" s="3">
        <f>IF(L2&gt;=(2023-22),5,0)</f>
        <v/>
      </c>
      <c r="M8" s="3">
        <f>IF(M2&gt;=16,20,IF(M2&gt;=14,15,IF(M2&gt;=12,10,IF(M2&gt;=11,5,0))))</f>
        <v/>
      </c>
    </row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>
      <c r="M14" s="3" t="inlineStr">
        <is>
          <t>Score A</t>
        </is>
      </c>
    </row>
    <row r="15" ht="14.25" customHeight="1" s="9">
      <c r="M15" s="3">
        <f>(2/10)*A8+(1.4/3)*D8+(5/6)*I8+(2/3)*(L8+M8)</f>
        <v/>
      </c>
    </row>
    <row r="16" ht="14.25" customHeight="1" s="9"/>
    <row r="17" ht="14.25" customHeight="1" s="9"/>
    <row r="18" ht="14.25" customHeight="1" s="9"/>
    <row r="19" ht="14.25" customHeight="1" s="9"/>
    <row r="20" ht="14.25" customHeight="1" s="9">
      <c r="F20" s="7" t="n">
        <v>0.7</v>
      </c>
      <c r="G20" s="7" t="n">
        <v>0.3</v>
      </c>
    </row>
    <row r="21" ht="14.25" customHeight="1" s="9">
      <c r="F21" s="3" t="inlineStr">
        <is>
          <t>Score A</t>
        </is>
      </c>
      <c r="G21" s="3" t="inlineStr">
        <is>
          <t>Score E</t>
        </is>
      </c>
      <c r="I21" s="3" t="inlineStr">
        <is>
          <t>Score G</t>
        </is>
      </c>
    </row>
    <row r="22" ht="14.25" customHeight="1" s="9">
      <c r="F22" s="3">
        <f>M15</f>
        <v/>
      </c>
      <c r="G22" s="3" t="n">
        <v>68.5825</v>
      </c>
      <c r="I22" s="3">
        <f>F22*0.7+G22*0.3</f>
        <v/>
      </c>
    </row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5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9" min="1" max="1"/>
    <col width="10.71" customWidth="1" style="9" min="2" max="26"/>
  </cols>
  <sheetData>
    <row r="1" ht="14.25" customHeight="1" s="9"/>
    <row r="2" ht="14.25" customHeight="1" s="9">
      <c r="A2" s="8" t="inlineStr">
        <is>
          <t>Résultats 2023</t>
        </is>
      </c>
      <c r="B2" s="3" t="inlineStr">
        <is>
          <t>IDL A</t>
        </is>
      </c>
      <c r="C2" s="3" t="inlineStr">
        <is>
          <t>IDL B</t>
        </is>
      </c>
      <c r="D2" s="3" t="inlineStr">
        <is>
          <t>ISEOC A</t>
        </is>
      </c>
      <c r="E2" s="3" t="inlineStr">
        <is>
          <t>ISEOC B</t>
        </is>
      </c>
      <c r="F2" s="3" t="inlineStr">
        <is>
          <t>IDISC A</t>
        </is>
      </c>
      <c r="G2" s="3" t="inlineStr">
        <is>
          <t>IDISC B</t>
        </is>
      </c>
    </row>
    <row r="3" ht="14.25" customHeight="1" s="9">
      <c r="A3" s="3" t="inlineStr">
        <is>
          <t>Plus haut score</t>
        </is>
      </c>
      <c r="B3" s="3" t="n">
        <v>88.8</v>
      </c>
      <c r="C3" s="3" t="n">
        <v>87.05</v>
      </c>
      <c r="D3" s="3" t="n">
        <v>74.93000000000001</v>
      </c>
      <c r="E3" s="3" t="n">
        <v>75.79000000000001</v>
      </c>
      <c r="F3" s="3" t="n">
        <v>77.17</v>
      </c>
      <c r="G3" s="3" t="n">
        <v>79.19</v>
      </c>
    </row>
    <row r="4" ht="14.25" customHeight="1" s="9">
      <c r="A4" s="3" t="inlineStr">
        <is>
          <t>Moyen score</t>
        </is>
      </c>
      <c r="B4" s="3" t="n">
        <v>75.23</v>
      </c>
      <c r="C4" s="3" t="n">
        <v>80.23999999999999</v>
      </c>
      <c r="D4" s="3" t="n">
        <v>64.61</v>
      </c>
      <c r="E4" s="3" t="n">
        <v>70.3</v>
      </c>
      <c r="F4" s="3" t="n">
        <v>64.51000000000001</v>
      </c>
      <c r="G4" s="3" t="n">
        <v>73.42</v>
      </c>
    </row>
    <row r="5" ht="14.25" customHeight="1" s="9">
      <c r="A5" s="3" t="inlineStr">
        <is>
          <t>Plus faible score</t>
        </is>
      </c>
      <c r="B5" s="3" t="n">
        <v>62.31</v>
      </c>
      <c r="C5" s="3" t="n">
        <v>75.25</v>
      </c>
      <c r="D5" s="3" t="n">
        <v>53.36</v>
      </c>
      <c r="E5" s="3" t="n">
        <v>66.5</v>
      </c>
      <c r="F5" s="3" t="n">
        <v>56.69</v>
      </c>
      <c r="G5" s="3" t="n">
        <v>69.09</v>
      </c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2023-06-24T21:16:09Z</dcterms:created>
  <dcterms:modified xmlns:dcterms="http://purl.org/dc/terms/" xmlns:xsi="http://www.w3.org/2001/XMLSchema-instance" xsi:type="dcterms:W3CDTF">2026-06-26T19:29:52Z</dcterms:modified>
</cp:coreProperties>
</file>